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配额表" sheetId="6" r:id="rId1"/>
  </sheets>
  <definedNames>
    <definedName name="_xlnm._FilterDatabase" localSheetId="0" hidden="1">配额表!$A$4:$K$41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<sst xmlns="http://schemas.openxmlformats.org/spreadsheetml/2006/main" count="49" uniqueCount="49">
  <si>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附件1：</t>
  </si>
  <si>
    <t>2026年国家级、省级大学生创新创业训练计划项目学院推荐名额一览表</t>
  </si>
  <si>
    <t>序号</t>
  </si>
  <si>
    <t> 归属学院</t>
  </si>
  <si>
    <t>基础名额</t>
  </si>
  <si>
    <t>奖励名额</t>
  </si>
  <si>
    <t>扣减名额</t>
  </si>
  <si>
    <t>推荐名额</t>
  </si>
  <si>
    <t>国家级推荐名额</t>
  </si>
  <si>
    <t>省级推荐
名额</t>
  </si>
  <si>
    <t>长基计划</t>
  </si>
  <si>
    <t>国家级基础学科2.0基地</t>
  </si>
  <si>
    <t>第十八届大创年会学校推荐项目</t>
  </si>
  <si>
    <t>第十八届大创年会学校入围项目</t>
  </si>
  <si>
    <t>生命科学学院</t>
  </si>
  <si>
    <t>化学学院</t>
  </si>
  <si>
    <t>人工智能学院</t>
  </si>
  <si>
    <t>电子科学与工程学院（微电子学院）</t>
  </si>
  <si>
    <t>光电科学与工程学院</t>
  </si>
  <si>
    <t>地理科学学院</t>
  </si>
  <si>
    <t>国际商学院</t>
  </si>
  <si>
    <t>物理学院</t>
  </si>
  <si>
    <t>音乐学院</t>
  </si>
  <si>
    <t>政治与公共管理学院</t>
  </si>
  <si>
    <t>心理学院</t>
  </si>
  <si>
    <t>环境学院</t>
  </si>
  <si>
    <t>阿伯丁数据科学与人工智能学院</t>
  </si>
  <si>
    <t>文学院</t>
  </si>
  <si>
    <t>马克思主义学院</t>
  </si>
  <si>
    <t>外国语言文化学院</t>
  </si>
  <si>
    <t>体育科学学院</t>
  </si>
  <si>
    <t>行知书院</t>
  </si>
  <si>
    <t>法学院</t>
  </si>
  <si>
    <t>经济与管理学院</t>
  </si>
  <si>
    <t>美术学院</t>
  </si>
  <si>
    <t>数学科学学院</t>
  </si>
  <si>
    <t>教育信息技术学院</t>
  </si>
  <si>
    <t>材料与新能源学院</t>
  </si>
  <si>
    <t>历史文化学院</t>
  </si>
  <si>
    <t>教育科学学院</t>
  </si>
  <si>
    <t>数据科学与工程学院</t>
  </si>
  <si>
    <t>教育科学学院（汕尾）</t>
  </si>
  <si>
    <t>计算机学院</t>
  </si>
  <si>
    <t>旅游管理学院</t>
  </si>
  <si>
    <t>哲学与社会发展学院</t>
  </si>
  <si>
    <t>创意设计学院</t>
  </si>
  <si>
    <t>商学院</t>
  </si>
  <si>
    <t>合计</t>
  </si>
  <si>
    <r>
      <rPr>
        <b/>
        <sz val="11"/>
        <color theme="1"/>
        <rFont val="宋体"/>
        <charset val="134"/>
        <scheme val="minor"/>
      </rPr>
      <t>备注</t>
    </r>
    <r>
      <rPr>
        <sz val="11"/>
        <color theme="1"/>
        <rFont val="宋体"/>
        <charset val="134"/>
        <scheme val="minor"/>
      </rPr>
      <t>：
1.</t>
    </r>
    <r>
      <rPr>
        <b/>
        <sz val="11"/>
        <color theme="1"/>
        <rFont val="宋体"/>
        <charset val="134"/>
        <scheme val="minor"/>
      </rPr>
      <t>奖励名额</t>
    </r>
    <r>
      <rPr>
        <sz val="11"/>
        <color theme="1"/>
        <rFont val="宋体"/>
        <charset val="134"/>
        <scheme val="minor"/>
      </rPr>
      <t>：对承担基“长基计划”和“国家级基础学科2.0基地”的学院各奖励1个国家级、省级名额；对参选及入围第十八届大创年会的学院各奖励1个国家级、省级名额。
2.</t>
    </r>
    <r>
      <rPr>
        <b/>
        <sz val="11"/>
        <color theme="1"/>
        <rFont val="宋体"/>
        <charset val="134"/>
        <scheme val="minor"/>
      </rPr>
      <t>扣减名额</t>
    </r>
    <r>
      <rPr>
        <sz val="11"/>
        <color theme="1"/>
        <rFont val="宋体"/>
        <charset val="134"/>
        <scheme val="minor"/>
      </rPr>
      <t xml:space="preserve">：2025年度国家级、省级大创计划项目如有未通过结题验收或终止项目的，项目数量在5项以内（含5项）各扣减1个国家级、省级名额，超过5项扣各减2个国家级、省级名额。扣减名额统计数据采集至2026年5月13日上午9时止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</si>
</sst>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b/>
      <sz val="16"/>
      <color theme="1"/>
      <name val="宋体"/>
      <charset val="134"/>
      <scheme val="major"/>
    </font>
    <font>
      <b/>
      <sz val="12"/>
      <name val="宋体"/>
      <charset val="0"/>
      <scheme val="major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name val="宋体"/>
      <charset val="0"/>
      <scheme val="major"/>
    </font>
    <font>
      <b/>
      <sz val="12"/>
      <color theme="1"/>
      <name val="宋体"/>
      <charset val="0"/>
      <scheme val="maj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0" fillId="2" borderId="2" xfId="0" applyNumberFormat="1" applyFon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176" fontId="8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topLeftCell="A3" workbookViewId="0">
      <selection activeCell="A11" sqref="A11:K11"/>
    </sheetView>
  </sheetViews>
  <sheetFormatPr defaultColWidth="9" defaultRowHeight="13.5"/>
  <cols>
    <col min="2" max="2" width="33.625" customWidth="1"/>
    <col min="3" max="3" width="11.25" style="1" customWidth="1"/>
    <col min="4" max="4" width="11.875" customWidth="1"/>
    <col min="5" max="5" width="17.75" customWidth="1"/>
    <col min="6" max="6" width="16.5" customWidth="1"/>
    <col min="7" max="7" width="15.75" customWidth="1"/>
    <col min="8" max="8" width="11.5" customWidth="1"/>
    <col min="9" max="9" width="13.25" customWidth="1"/>
    <col min="10" max="10" width="12" customWidth="1"/>
    <col min="11" max="11" width="11.25" style="2" customWidth="1"/>
  </cols>
  <sheetData>
    <row r="1" customFormat="1" ht="29" customHeight="1" spans="1:11">
      <c r="A1" s="3" t="s">
        <v>0</v>
      </c>
      <c r="B1" s="3"/>
      <c r="C1" s="1"/>
      <c r="K1" s="2"/>
    </row>
    <row r="2" customFormat="1" ht="40" customHeight="1" spans="1:11">
      <c r="A2" s="4" t="s">
        <v>1</v>
      </c>
      <c r="B2" s="4"/>
      <c r="C2" s="5"/>
      <c r="D2" s="4"/>
      <c r="E2" s="4"/>
      <c r="F2" s="4"/>
      <c r="G2" s="4"/>
      <c r="H2" s="4"/>
      <c r="I2" s="4"/>
      <c r="J2" s="4"/>
      <c r="K2" s="6"/>
    </row>
    <row r="3" ht="30" customHeight="1" spans="1:11">
      <c r="A3" s="7" t="s">
        <v>2</v>
      </c>
      <c r="B3" s="7" t="s">
        <v>3</v>
      </c>
      <c r="C3" s="8" t="s">
        <v>4</v>
      </c>
      <c r="D3" s="9" t="s">
        <v>5</v>
      </c>
      <c r="E3" s="9"/>
      <c r="F3" s="9"/>
      <c r="G3" s="9"/>
      <c r="H3" s="10" t="s">
        <v>6</v>
      </c>
      <c r="I3" s="8" t="s">
        <v>7</v>
      </c>
      <c r="J3" s="8" t="s">
        <v>8</v>
      </c>
      <c r="K3" s="11" t="s">
        <v>9</v>
      </c>
    </row>
    <row r="4" ht="30" customHeight="1" spans="1:11">
      <c r="A4" s="12"/>
      <c r="B4" s="12"/>
      <c r="C4" s="13"/>
      <c r="D4" s="14" t="s">
        <v>10</v>
      </c>
      <c r="E4" s="14" t="s">
        <v>11</v>
      </c>
      <c r="F4" s="14" t="s">
        <v>12</v>
      </c>
      <c r="G4" s="14" t="s">
        <v>13</v>
      </c>
      <c r="H4" s="15"/>
      <c r="I4" s="13"/>
      <c r="J4" s="13"/>
      <c r="K4" s="11"/>
    </row>
    <row r="5" ht="25" customHeight="1" spans="1:11">
      <c r="A5" s="16">
        <v>1</v>
      </c>
      <c r="B5" s="17" t="s">
        <v>14</v>
      </c>
      <c r="C5" s="18">
        <v>44</v>
      </c>
      <c r="D5" s="18">
        <v>1</v>
      </c>
      <c r="E5" s="16"/>
      <c r="F5" s="16"/>
      <c r="G5" s="16"/>
      <c r="H5" s="16"/>
      <c r="I5" s="18">
        <f>C5+D5+E5+F5+G5-H5</f>
        <v>45</v>
      </c>
      <c r="J5" s="19">
        <f>I5/3</f>
        <v>15</v>
      </c>
      <c r="K5" s="20">
        <f>I5/3*2</f>
        <v>30</v>
      </c>
    </row>
    <row r="6" ht="25" customHeight="1" spans="1:11">
      <c r="A6" s="16">
        <v>2</v>
      </c>
      <c r="B6" s="17" t="s">
        <v>15</v>
      </c>
      <c r="C6" s="18">
        <v>25</v>
      </c>
      <c r="D6" s="18">
        <v>1</v>
      </c>
      <c r="E6" s="16"/>
      <c r="F6" s="18"/>
      <c r="G6" s="16"/>
      <c r="H6" s="16"/>
      <c r="I6" s="18">
        <f t="shared" ref="I6:I37" si="0">C6+D6+E6+F6+G6-H6</f>
        <v>26</v>
      </c>
      <c r="J6" s="19">
        <f t="shared" ref="J6:J37" si="1">I6/3</f>
        <v>8.66666666666667</v>
      </c>
      <c r="K6" s="20">
        <f t="shared" ref="K6:K37" si="2">I6/3*2</f>
        <v>17.3333333333333</v>
      </c>
    </row>
    <row r="7" ht="25" customHeight="1" spans="1:11">
      <c r="A7" s="16">
        <v>3</v>
      </c>
      <c r="B7" s="17" t="s">
        <v>16</v>
      </c>
      <c r="C7" s="18">
        <v>20</v>
      </c>
      <c r="D7" s="16"/>
      <c r="E7" s="16"/>
      <c r="F7" s="16">
        <v>1</v>
      </c>
      <c r="G7" s="16"/>
      <c r="H7" s="16"/>
      <c r="I7" s="18">
        <f t="shared" si="0"/>
        <v>21</v>
      </c>
      <c r="J7" s="19">
        <f t="shared" si="1"/>
        <v>7</v>
      </c>
      <c r="K7" s="20">
        <f t="shared" si="2"/>
        <v>14</v>
      </c>
    </row>
    <row r="8" ht="25" customHeight="1" spans="1:11">
      <c r="A8" s="16">
        <v>4</v>
      </c>
      <c r="B8" s="17" t="s">
        <v>17</v>
      </c>
      <c r="C8" s="18">
        <v>16</v>
      </c>
      <c r="D8" s="16"/>
      <c r="E8" s="16"/>
      <c r="F8" s="18"/>
      <c r="G8" s="16"/>
      <c r="H8" s="16"/>
      <c r="I8" s="18">
        <f t="shared" si="0"/>
        <v>16</v>
      </c>
      <c r="J8" s="19">
        <f t="shared" si="1"/>
        <v>5.33333333333333</v>
      </c>
      <c r="K8" s="20">
        <f t="shared" si="2"/>
        <v>10.6666666666667</v>
      </c>
    </row>
    <row r="9" ht="25" customHeight="1" spans="1:11">
      <c r="A9" s="16">
        <v>5</v>
      </c>
      <c r="B9" s="17" t="s">
        <v>18</v>
      </c>
      <c r="C9" s="18">
        <v>16</v>
      </c>
      <c r="D9" s="16"/>
      <c r="E9" s="16"/>
      <c r="F9" s="18">
        <v>1</v>
      </c>
      <c r="G9" s="18">
        <v>1</v>
      </c>
      <c r="H9" s="16"/>
      <c r="I9" s="18">
        <f t="shared" si="0"/>
        <v>18</v>
      </c>
      <c r="J9" s="19">
        <f t="shared" si="1"/>
        <v>6</v>
      </c>
      <c r="K9" s="20">
        <f t="shared" si="2"/>
        <v>12</v>
      </c>
    </row>
    <row r="10" ht="25" customHeight="1" spans="1:11">
      <c r="A10" s="16">
        <v>6</v>
      </c>
      <c r="B10" s="17" t="s">
        <v>19</v>
      </c>
      <c r="C10" s="18">
        <v>15</v>
      </c>
      <c r="D10" s="18">
        <v>1</v>
      </c>
      <c r="E10" s="16"/>
      <c r="F10" s="16"/>
      <c r="G10" s="16"/>
      <c r="H10" s="16">
        <v>1</v>
      </c>
      <c r="I10" s="18">
        <f t="shared" si="0"/>
        <v>15</v>
      </c>
      <c r="J10" s="19">
        <f t="shared" si="1"/>
        <v>5</v>
      </c>
      <c r="K10" s="20">
        <f t="shared" si="2"/>
        <v>10</v>
      </c>
    </row>
    <row r="11" ht="25" customHeight="1" spans="1:11">
      <c r="A11" s="21">
        <v>7</v>
      </c>
      <c r="B11" s="22" t="s">
        <v>20</v>
      </c>
      <c r="C11" s="23">
        <v>14</v>
      </c>
      <c r="D11" s="21"/>
      <c r="E11" s="21"/>
      <c r="F11" s="21"/>
      <c r="G11" s="21"/>
      <c r="H11" s="21"/>
      <c r="I11" s="23">
        <f t="shared" si="0"/>
        <v>14</v>
      </c>
      <c r="J11" s="24">
        <f t="shared" si="1"/>
        <v>4.66666666666667</v>
      </c>
      <c r="K11" s="25">
        <f t="shared" si="2"/>
        <v>9.33333333333333</v>
      </c>
    </row>
    <row r="12" ht="25" customHeight="1" spans="1:11">
      <c r="A12" s="16">
        <v>8</v>
      </c>
      <c r="B12" s="17" t="s">
        <v>21</v>
      </c>
      <c r="C12" s="18">
        <v>14</v>
      </c>
      <c r="D12" s="18">
        <v>1</v>
      </c>
      <c r="E12" s="18">
        <v>1</v>
      </c>
      <c r="F12" s="16"/>
      <c r="G12" s="16"/>
      <c r="H12" s="16">
        <v>1</v>
      </c>
      <c r="I12" s="18">
        <f t="shared" si="0"/>
        <v>15</v>
      </c>
      <c r="J12" s="19">
        <f t="shared" si="1"/>
        <v>5</v>
      </c>
      <c r="K12" s="20">
        <f t="shared" si="2"/>
        <v>10</v>
      </c>
    </row>
    <row r="13" ht="25" customHeight="1" spans="1:11">
      <c r="A13" s="16">
        <v>9</v>
      </c>
      <c r="B13" s="17" t="s">
        <v>22</v>
      </c>
      <c r="C13" s="18">
        <v>13</v>
      </c>
      <c r="D13" s="16"/>
      <c r="E13" s="16"/>
      <c r="F13" s="16"/>
      <c r="G13" s="16"/>
      <c r="H13" s="16"/>
      <c r="I13" s="18">
        <f t="shared" si="0"/>
        <v>13</v>
      </c>
      <c r="J13" s="19">
        <f t="shared" si="1"/>
        <v>4.33333333333333</v>
      </c>
      <c r="K13" s="20">
        <f t="shared" si="2"/>
        <v>8.66666666666667</v>
      </c>
    </row>
    <row r="14" ht="25" customHeight="1" spans="1:11">
      <c r="A14" s="16">
        <v>10</v>
      </c>
      <c r="B14" s="17" t="s">
        <v>23</v>
      </c>
      <c r="C14" s="18">
        <v>13</v>
      </c>
      <c r="D14" s="16"/>
      <c r="E14" s="16"/>
      <c r="F14" s="16"/>
      <c r="G14" s="16"/>
      <c r="H14" s="16"/>
      <c r="I14" s="18">
        <f t="shared" si="0"/>
        <v>13</v>
      </c>
      <c r="J14" s="19">
        <f t="shared" si="1"/>
        <v>4.33333333333333</v>
      </c>
      <c r="K14" s="20">
        <f t="shared" si="2"/>
        <v>8.66666666666667</v>
      </c>
    </row>
    <row r="15" ht="25" customHeight="1" spans="1:11">
      <c r="A15" s="16">
        <v>11</v>
      </c>
      <c r="B15" s="17" t="s">
        <v>24</v>
      </c>
      <c r="C15" s="18">
        <v>12</v>
      </c>
      <c r="D15" s="18">
        <v>1</v>
      </c>
      <c r="E15" s="18">
        <v>1</v>
      </c>
      <c r="F15" s="16">
        <v>1</v>
      </c>
      <c r="G15" s="16"/>
      <c r="H15" s="16"/>
      <c r="I15" s="18">
        <f t="shared" si="0"/>
        <v>15</v>
      </c>
      <c r="J15" s="19">
        <f t="shared" si="1"/>
        <v>5</v>
      </c>
      <c r="K15" s="20">
        <f t="shared" si="2"/>
        <v>10</v>
      </c>
    </row>
    <row r="16" ht="25" customHeight="1" spans="1:11">
      <c r="A16" s="16">
        <v>12</v>
      </c>
      <c r="B16" s="17" t="s">
        <v>25</v>
      </c>
      <c r="C16" s="18">
        <v>12</v>
      </c>
      <c r="D16" s="16"/>
      <c r="E16" s="16"/>
      <c r="F16" s="16"/>
      <c r="G16" s="16"/>
      <c r="H16" s="16"/>
      <c r="I16" s="18">
        <f t="shared" si="0"/>
        <v>12</v>
      </c>
      <c r="J16" s="19">
        <f t="shared" si="1"/>
        <v>4</v>
      </c>
      <c r="K16" s="20">
        <f t="shared" si="2"/>
        <v>8</v>
      </c>
    </row>
    <row r="17" ht="25" customHeight="1" spans="1:11">
      <c r="A17" s="16">
        <v>13</v>
      </c>
      <c r="B17" s="17" t="s">
        <v>26</v>
      </c>
      <c r="C17" s="18">
        <v>9</v>
      </c>
      <c r="D17" s="16"/>
      <c r="E17" s="16"/>
      <c r="F17" s="16"/>
      <c r="G17" s="16"/>
      <c r="H17" s="26"/>
      <c r="I17" s="18">
        <f t="shared" si="0"/>
        <v>9</v>
      </c>
      <c r="J17" s="19">
        <f t="shared" si="1"/>
        <v>3</v>
      </c>
      <c r="K17" s="20">
        <f t="shared" si="2"/>
        <v>6</v>
      </c>
    </row>
    <row r="18" ht="25" customHeight="1" spans="1:11">
      <c r="A18" s="16">
        <v>14</v>
      </c>
      <c r="B18" s="17" t="s">
        <v>27</v>
      </c>
      <c r="C18" s="18">
        <v>9</v>
      </c>
      <c r="D18" s="18">
        <v>1</v>
      </c>
      <c r="E18" s="16"/>
      <c r="F18" s="16"/>
      <c r="G18" s="16"/>
      <c r="H18" s="26">
        <v>1</v>
      </c>
      <c r="I18" s="18">
        <f t="shared" si="0"/>
        <v>9</v>
      </c>
      <c r="J18" s="19">
        <f t="shared" si="1"/>
        <v>3</v>
      </c>
      <c r="K18" s="20">
        <f t="shared" si="2"/>
        <v>6</v>
      </c>
    </row>
    <row r="19" ht="25" customHeight="1" spans="1:11">
      <c r="A19" s="16">
        <v>15</v>
      </c>
      <c r="B19" s="17" t="s">
        <v>28</v>
      </c>
      <c r="C19" s="18">
        <v>7</v>
      </c>
      <c r="D19" s="16"/>
      <c r="E19" s="16"/>
      <c r="F19" s="16"/>
      <c r="G19" s="16"/>
      <c r="H19" s="26"/>
      <c r="I19" s="18">
        <f t="shared" si="0"/>
        <v>7</v>
      </c>
      <c r="J19" s="19">
        <f t="shared" si="1"/>
        <v>2.33333333333333</v>
      </c>
      <c r="K19" s="20">
        <f t="shared" si="2"/>
        <v>4.66666666666667</v>
      </c>
    </row>
    <row r="20" ht="25" customHeight="1" spans="1:11">
      <c r="A20" s="16">
        <v>16</v>
      </c>
      <c r="B20" s="17" t="s">
        <v>29</v>
      </c>
      <c r="C20" s="18">
        <v>7</v>
      </c>
      <c r="D20" s="16"/>
      <c r="E20" s="16"/>
      <c r="F20" s="16"/>
      <c r="G20" s="16"/>
      <c r="H20" s="26">
        <v>1</v>
      </c>
      <c r="I20" s="18">
        <f t="shared" si="0"/>
        <v>6</v>
      </c>
      <c r="J20" s="19">
        <f t="shared" si="1"/>
        <v>2</v>
      </c>
      <c r="K20" s="20">
        <f t="shared" si="2"/>
        <v>4</v>
      </c>
    </row>
    <row r="21" ht="25" customHeight="1" spans="1:11">
      <c r="A21" s="16">
        <v>17</v>
      </c>
      <c r="B21" s="17" t="s">
        <v>30</v>
      </c>
      <c r="C21" s="18">
        <v>6</v>
      </c>
      <c r="D21" s="16"/>
      <c r="E21" s="16"/>
      <c r="F21" s="16"/>
      <c r="G21" s="16"/>
      <c r="H21" s="26">
        <v>1</v>
      </c>
      <c r="I21" s="18">
        <f t="shared" si="0"/>
        <v>5</v>
      </c>
      <c r="J21" s="19">
        <f t="shared" si="1"/>
        <v>1.66666666666667</v>
      </c>
      <c r="K21" s="20">
        <f t="shared" si="2"/>
        <v>3.33333333333333</v>
      </c>
    </row>
    <row r="22" ht="25" customHeight="1" spans="1:11">
      <c r="A22" s="16">
        <v>18</v>
      </c>
      <c r="B22" s="17" t="s">
        <v>31</v>
      </c>
      <c r="C22" s="18">
        <v>5</v>
      </c>
      <c r="D22" s="16"/>
      <c r="E22" s="16"/>
      <c r="F22" s="16"/>
      <c r="G22" s="16"/>
      <c r="H22" s="16"/>
      <c r="I22" s="18">
        <f t="shared" si="0"/>
        <v>5</v>
      </c>
      <c r="J22" s="19">
        <f t="shared" si="1"/>
        <v>1.66666666666667</v>
      </c>
      <c r="K22" s="20">
        <f t="shared" si="2"/>
        <v>3.33333333333333</v>
      </c>
    </row>
    <row r="23" ht="25" customHeight="1" spans="1:11">
      <c r="A23" s="16">
        <v>19</v>
      </c>
      <c r="B23" s="17" t="s">
        <v>32</v>
      </c>
      <c r="C23" s="18">
        <v>5</v>
      </c>
      <c r="D23" s="16"/>
      <c r="E23" s="16"/>
      <c r="F23" s="16"/>
      <c r="G23" s="16"/>
      <c r="H23" s="16"/>
      <c r="I23" s="18">
        <f t="shared" si="0"/>
        <v>5</v>
      </c>
      <c r="J23" s="19">
        <f t="shared" si="1"/>
        <v>1.66666666666667</v>
      </c>
      <c r="K23" s="20">
        <f t="shared" si="2"/>
        <v>3.33333333333333</v>
      </c>
    </row>
    <row r="24" ht="25" customHeight="1" spans="1:11">
      <c r="A24" s="16">
        <v>20</v>
      </c>
      <c r="B24" s="17" t="s">
        <v>33</v>
      </c>
      <c r="C24" s="18">
        <v>5</v>
      </c>
      <c r="D24" s="18">
        <v>1</v>
      </c>
      <c r="E24" s="16"/>
      <c r="F24" s="16"/>
      <c r="G24" s="16"/>
      <c r="H24" s="16"/>
      <c r="I24" s="18">
        <f t="shared" si="0"/>
        <v>6</v>
      </c>
      <c r="J24" s="19">
        <f t="shared" si="1"/>
        <v>2</v>
      </c>
      <c r="K24" s="20">
        <f t="shared" si="2"/>
        <v>4</v>
      </c>
    </row>
    <row r="25" ht="25" customHeight="1" spans="1:11">
      <c r="A25" s="16">
        <v>21</v>
      </c>
      <c r="B25" s="17" t="s">
        <v>34</v>
      </c>
      <c r="C25" s="18">
        <v>5</v>
      </c>
      <c r="D25" s="16"/>
      <c r="E25" s="16"/>
      <c r="F25" s="16"/>
      <c r="G25" s="16"/>
      <c r="H25" s="16"/>
      <c r="I25" s="18">
        <f t="shared" si="0"/>
        <v>5</v>
      </c>
      <c r="J25" s="19">
        <f t="shared" si="1"/>
        <v>1.66666666666667</v>
      </c>
      <c r="K25" s="20">
        <f t="shared" si="2"/>
        <v>3.33333333333333</v>
      </c>
    </row>
    <row r="26" ht="25" customHeight="1" spans="1:11">
      <c r="A26" s="16">
        <v>22</v>
      </c>
      <c r="B26" s="17" t="s">
        <v>35</v>
      </c>
      <c r="C26" s="18">
        <v>3</v>
      </c>
      <c r="D26" s="16"/>
      <c r="E26" s="16"/>
      <c r="F26" s="16"/>
      <c r="G26" s="16"/>
      <c r="H26" s="16"/>
      <c r="I26" s="18">
        <f t="shared" si="0"/>
        <v>3</v>
      </c>
      <c r="J26" s="19">
        <f t="shared" si="1"/>
        <v>1</v>
      </c>
      <c r="K26" s="20">
        <f t="shared" si="2"/>
        <v>2</v>
      </c>
    </row>
    <row r="27" ht="25" customHeight="1" spans="1:11">
      <c r="A27" s="16">
        <v>23</v>
      </c>
      <c r="B27" s="17" t="s">
        <v>36</v>
      </c>
      <c r="C27" s="18">
        <v>3</v>
      </c>
      <c r="D27" s="16"/>
      <c r="E27" s="16"/>
      <c r="F27" s="16"/>
      <c r="G27" s="16"/>
      <c r="H27" s="16"/>
      <c r="I27" s="18">
        <f t="shared" si="0"/>
        <v>3</v>
      </c>
      <c r="J27" s="19">
        <f t="shared" si="1"/>
        <v>1</v>
      </c>
      <c r="K27" s="20">
        <f t="shared" si="2"/>
        <v>2</v>
      </c>
    </row>
    <row r="28" ht="25" customHeight="1" spans="1:11">
      <c r="A28" s="16">
        <v>24</v>
      </c>
      <c r="B28" s="17" t="s">
        <v>37</v>
      </c>
      <c r="C28" s="18">
        <v>2</v>
      </c>
      <c r="D28" s="16"/>
      <c r="E28" s="16"/>
      <c r="F28" s="16"/>
      <c r="G28" s="16"/>
      <c r="H28" s="16"/>
      <c r="I28" s="18">
        <f t="shared" si="0"/>
        <v>2</v>
      </c>
      <c r="J28" s="19">
        <f t="shared" si="1"/>
        <v>0.666666666666667</v>
      </c>
      <c r="K28" s="20">
        <v>1</v>
      </c>
    </row>
    <row r="29" ht="25" customHeight="1" spans="1:11">
      <c r="A29" s="16">
        <v>25</v>
      </c>
      <c r="B29" s="17" t="s">
        <v>38</v>
      </c>
      <c r="C29" s="18">
        <v>2</v>
      </c>
      <c r="D29" s="16"/>
      <c r="E29" s="16"/>
      <c r="F29" s="16"/>
      <c r="G29" s="16"/>
      <c r="H29" s="16"/>
      <c r="I29" s="18">
        <f t="shared" si="0"/>
        <v>2</v>
      </c>
      <c r="J29" s="19">
        <f t="shared" si="1"/>
        <v>0.666666666666667</v>
      </c>
      <c r="K29" s="20">
        <f t="shared" si="2"/>
        <v>1.33333333333333</v>
      </c>
    </row>
    <row r="30" ht="25" customHeight="1" spans="1:11">
      <c r="A30" s="16">
        <v>26</v>
      </c>
      <c r="B30" s="17" t="s">
        <v>39</v>
      </c>
      <c r="C30" s="18">
        <v>2</v>
      </c>
      <c r="D30" s="16"/>
      <c r="E30" s="16"/>
      <c r="F30" s="16"/>
      <c r="G30" s="16"/>
      <c r="H30" s="16"/>
      <c r="I30" s="18">
        <f t="shared" si="0"/>
        <v>2</v>
      </c>
      <c r="J30" s="19">
        <f t="shared" si="1"/>
        <v>0.666666666666667</v>
      </c>
      <c r="K30" s="20">
        <f t="shared" si="2"/>
        <v>1.33333333333333</v>
      </c>
    </row>
    <row r="31" ht="25" customHeight="1" spans="1:11">
      <c r="A31" s="16">
        <v>27</v>
      </c>
      <c r="B31" s="17" t="s">
        <v>40</v>
      </c>
      <c r="C31" s="18">
        <v>2</v>
      </c>
      <c r="D31" s="16"/>
      <c r="E31" s="16"/>
      <c r="F31" s="16"/>
      <c r="G31" s="16"/>
      <c r="H31" s="16"/>
      <c r="I31" s="18">
        <f t="shared" si="0"/>
        <v>2</v>
      </c>
      <c r="J31" s="19">
        <f t="shared" si="1"/>
        <v>0.666666666666667</v>
      </c>
      <c r="K31" s="20">
        <f t="shared" si="2"/>
        <v>1.33333333333333</v>
      </c>
    </row>
    <row r="32" ht="25" customHeight="1" spans="1:11">
      <c r="A32" s="16">
        <v>28</v>
      </c>
      <c r="B32" s="17" t="s">
        <v>41</v>
      </c>
      <c r="C32" s="18">
        <v>1</v>
      </c>
      <c r="D32" s="16"/>
      <c r="E32" s="16"/>
      <c r="F32" s="16"/>
      <c r="G32" s="16"/>
      <c r="H32" s="16"/>
      <c r="I32" s="18">
        <f t="shared" si="0"/>
        <v>1</v>
      </c>
      <c r="J32" s="19">
        <f t="shared" si="1"/>
        <v>0.333333333333333</v>
      </c>
      <c r="K32" s="20">
        <f t="shared" si="2"/>
        <v>0.666666666666667</v>
      </c>
    </row>
    <row r="33" ht="25" customHeight="1" spans="1:11">
      <c r="A33" s="16">
        <v>29</v>
      </c>
      <c r="B33" s="17" t="s">
        <v>42</v>
      </c>
      <c r="C33" s="18">
        <v>1</v>
      </c>
      <c r="D33" s="16"/>
      <c r="E33" s="16"/>
      <c r="F33" s="16"/>
      <c r="G33" s="16"/>
      <c r="H33" s="16"/>
      <c r="I33" s="18">
        <f t="shared" si="0"/>
        <v>1</v>
      </c>
      <c r="J33" s="19">
        <f t="shared" si="1"/>
        <v>0.333333333333333</v>
      </c>
      <c r="K33" s="20">
        <f t="shared" si="2"/>
        <v>0.666666666666667</v>
      </c>
    </row>
    <row r="34" ht="25" customHeight="1" spans="1:11">
      <c r="A34" s="16">
        <v>30</v>
      </c>
      <c r="B34" s="17" t="s">
        <v>43</v>
      </c>
      <c r="C34" s="18">
        <v>1</v>
      </c>
      <c r="D34" s="16"/>
      <c r="E34" s="16"/>
      <c r="F34" s="16"/>
      <c r="G34" s="16"/>
      <c r="H34" s="16"/>
      <c r="I34" s="18">
        <f t="shared" si="0"/>
        <v>1</v>
      </c>
      <c r="J34" s="19">
        <f t="shared" si="1"/>
        <v>0.333333333333333</v>
      </c>
      <c r="K34" s="20">
        <f t="shared" si="2"/>
        <v>0.666666666666667</v>
      </c>
    </row>
    <row r="35" ht="25" customHeight="1" spans="1:11">
      <c r="A35" s="16">
        <v>31</v>
      </c>
      <c r="B35" s="17" t="s">
        <v>44</v>
      </c>
      <c r="C35" s="18">
        <v>1</v>
      </c>
      <c r="D35" s="16"/>
      <c r="E35" s="16"/>
      <c r="F35" s="16"/>
      <c r="G35" s="16"/>
      <c r="H35" s="16"/>
      <c r="I35" s="18">
        <f t="shared" si="0"/>
        <v>1</v>
      </c>
      <c r="J35" s="19">
        <f t="shared" si="1"/>
        <v>0.333333333333333</v>
      </c>
      <c r="K35" s="20">
        <f t="shared" si="2"/>
        <v>0.666666666666667</v>
      </c>
    </row>
    <row r="36" ht="25" customHeight="1" spans="1:11">
      <c r="A36" s="16">
        <v>32</v>
      </c>
      <c r="B36" s="17" t="s">
        <v>45</v>
      </c>
      <c r="C36" s="18">
        <v>1</v>
      </c>
      <c r="D36" s="16"/>
      <c r="E36" s="16"/>
      <c r="F36" s="16"/>
      <c r="G36" s="16"/>
      <c r="H36" s="16"/>
      <c r="I36" s="18">
        <f t="shared" si="0"/>
        <v>1</v>
      </c>
      <c r="J36" s="19">
        <f t="shared" si="1"/>
        <v>0.333333333333333</v>
      </c>
      <c r="K36" s="20">
        <f t="shared" si="2"/>
        <v>0.666666666666667</v>
      </c>
    </row>
    <row r="37" ht="25" customHeight="1" spans="1:11">
      <c r="A37" s="16">
        <v>33</v>
      </c>
      <c r="B37" s="17" t="s">
        <v>46</v>
      </c>
      <c r="C37" s="18">
        <v>1</v>
      </c>
      <c r="D37" s="16"/>
      <c r="E37" s="16"/>
      <c r="F37" s="16"/>
      <c r="G37" s="16"/>
      <c r="H37" s="16"/>
      <c r="I37" s="18">
        <f t="shared" si="0"/>
        <v>1</v>
      </c>
      <c r="J37" s="19">
        <f t="shared" si="1"/>
        <v>0.333333333333333</v>
      </c>
      <c r="K37" s="20">
        <v>1</v>
      </c>
    </row>
    <row r="38" ht="25" customHeight="1" spans="1:11">
      <c r="A38" s="9" t="s">
        <v>47</v>
      </c>
      <c r="B38" s="9"/>
      <c r="C38" s="27">
        <f>SUM(C5:C37)</f>
        <v>292</v>
      </c>
      <c r="D38" s="28">
        <f>SUM(D5:D37)</f>
        <v>7</v>
      </c>
      <c r="E38" s="28">
        <f>SUM(E5:E37)</f>
        <v>2</v>
      </c>
      <c r="F38" s="28">
        <f>SUM(F3:F24)</f>
        <v>3</v>
      </c>
      <c r="G38" s="28">
        <f>SUM(G5:G37)</f>
        <v>1</v>
      </c>
      <c r="H38" s="9">
        <f>SUM(H5:H37)</f>
        <v>5</v>
      </c>
      <c r="I38" s="29">
        <f>SUM(I5:I37)</f>
        <v>300</v>
      </c>
      <c r="J38" s="30">
        <f>SUM(J5:J37)</f>
        <v>100</v>
      </c>
      <c r="K38" s="30">
        <f>SUM(K5:K37)</f>
        <v>200</v>
      </c>
    </row>
    <row r="39" spans="1:11">
      <c r="A39" s="31" t="s">
        <v>48</v>
      </c>
      <c r="B39" s="31"/>
      <c r="C39" s="32"/>
      <c r="D39" s="31"/>
      <c r="E39" s="31"/>
      <c r="F39" s="31"/>
      <c r="G39" s="31"/>
      <c r="H39" s="31"/>
      <c r="I39" s="31"/>
      <c r="J39" s="31"/>
      <c r="K39" s="33"/>
    </row>
    <row r="40" spans="1:11">
      <c r="A40" s="31"/>
      <c r="B40" s="31"/>
      <c r="C40" s="32"/>
      <c r="D40" s="31"/>
      <c r="E40" s="31"/>
      <c r="F40" s="31"/>
      <c r="G40" s="31"/>
      <c r="H40" s="31"/>
      <c r="I40" s="31"/>
      <c r="J40" s="31"/>
      <c r="K40" s="33"/>
    </row>
    <row r="41" ht="42" customHeight="1" spans="1:11">
      <c r="A41" s="31"/>
      <c r="B41" s="31"/>
      <c r="C41" s="32"/>
      <c r="D41" s="31"/>
      <c r="E41" s="31"/>
      <c r="F41" s="31"/>
      <c r="G41" s="31"/>
      <c r="H41" s="31"/>
      <c r="I41" s="31"/>
      <c r="J41" s="31"/>
      <c r="K41" s="33"/>
    </row>
  </sheetData>
  <mergeCells count="12">
    <mergeCell ref="A1:B1"/>
    <mergeCell ref="A2:K2"/>
    <mergeCell ref="D3:G3"/>
    <mergeCell ref="A38:B38"/>
    <mergeCell ref="A3:A4"/>
    <mergeCell ref="B3:B4"/>
    <mergeCell ref="C3:C4"/>
    <mergeCell ref="H3:H4"/>
    <mergeCell ref="I3:I4"/>
    <mergeCell ref="J3:J4"/>
    <mergeCell ref="K3:K4"/>
    <mergeCell ref="A39:K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丘小英</cp:lastModifiedBy>
  <dcterms:created xsi:type="dcterms:W3CDTF">2025-05-01T08:31:00Z</dcterms:created>
  <dcterms:modified xsi:type="dcterms:W3CDTF">2026-05-13T02:28:35Z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7B44D4EEA655456193C596BDB66D4127_13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